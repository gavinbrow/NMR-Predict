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C6B06E30-DBD2-41CA-822B-3EE4D95AADF6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Summary" sheetId="1" r:id="rId1"/>
    <sheet name="Peaks" sheetId="2" r:id="rId2"/>
    <sheet name="Series" sheetId="3" r:id="rId3"/>
    <sheet name="End groups" sheetId="4" r:id="rId4"/>
    <sheet name="Spectr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6" i="2" s="1"/>
  <c r="I7" i="2" s="1"/>
  <c r="I8" i="2" s="1"/>
  <c r="I9" i="2" s="1"/>
  <c r="I10" i="2" s="1"/>
  <c r="I11" i="2" s="1"/>
  <c r="I12" i="2" s="1"/>
  <c r="G5" i="2"/>
  <c r="G6" i="2" s="1"/>
  <c r="G7" i="2" s="1"/>
  <c r="G8" i="2" s="1"/>
  <c r="G9" i="2" s="1"/>
  <c r="G10" i="2" s="1"/>
  <c r="G11" i="2" s="1"/>
</calcChain>
</file>

<file path=xl/sharedStrings.xml><?xml version="1.0" encoding="utf-8"?>
<sst xmlns="http://schemas.openxmlformats.org/spreadsheetml/2006/main" count="283" uniqueCount="77">
  <si>
    <t>Project</t>
  </si>
  <si>
    <t>DAC_1_Na</t>
  </si>
  <si>
    <t>Source</t>
  </si>
  <si>
    <t>DAC_1_Na.txt</t>
  </si>
  <si>
    <t>Points</t>
  </si>
  <si>
    <t>Peaks</t>
  </si>
  <si>
    <t>Repeat unit (Da)</t>
  </si>
  <si>
    <t>MALDI-apparent molecular weight</t>
  </si>
  <si>
    <t>(m/z basis)</t>
  </si>
  <si>
    <t>Mn</t>
  </si>
  <si>
    <t>Mw</t>
  </si>
  <si>
    <t>Mz</t>
  </si>
  <si>
    <t>Đ (dispersity)</t>
  </si>
  <si>
    <t>Interpretation</t>
  </si>
  <si>
    <t/>
  </si>
  <si>
    <t>17 analyte peaks picked.</t>
  </si>
  <si>
    <t>Dominant repeat spacing ≈ 224.000 Da (no library match).</t>
  </si>
  <si>
    <t>Best oligomer series: [M+H]+, 8 members (longest run 8), end-group residual 80.99 Da, fit error 0.000 Da, score 76%.</t>
  </si>
  <si>
    <t>Multiple adduct series detected ([M+H]+, [M+Na]+, [M+K]+) — the same polymer is ionizing with more than one cation.</t>
  </si>
  <si>
    <t>MALDI-apparent Mn ≈ 1067, Mw ≈ 1204, Đ ≈ 1.129 (m/z basis, 17 peaks). Intensities are not quantitative — treat as indicative only.</t>
  </si>
  <si>
    <t>This summary is generated by deterministic rules from the values above — not an external/AI model — and is meant to guide, not replace, expert review.</t>
  </si>
  <si>
    <t>m/z</t>
  </si>
  <si>
    <t>intensity</t>
  </si>
  <si>
    <t>S/N</t>
  </si>
  <si>
    <t>width</t>
  </si>
  <si>
    <t>confidence</t>
  </si>
  <si>
    <t>accepted</t>
  </si>
  <si>
    <t>flag</t>
  </si>
  <si>
    <t>label</t>
  </si>
  <si>
    <t>yes</t>
  </si>
  <si>
    <t>adduct</t>
  </si>
  <si>
    <t>repeatMass</t>
  </si>
  <si>
    <t>endGroupMass</t>
  </si>
  <si>
    <t>members</t>
  </si>
  <si>
    <t>meanErrorDa</t>
  </si>
  <si>
    <t>score</t>
  </si>
  <si>
    <t>n</t>
  </si>
  <si>
    <t>peakId</t>
  </si>
  <si>
    <t>[M+H]+</t>
  </si>
  <si>
    <t>586dd06b-88d3-458d-9928-c817e4be95b0</t>
  </si>
  <si>
    <t>f7cadb83-2053-491e-8da5-62157c640f7a</t>
  </si>
  <si>
    <t>6151506c-63a5-411b-85e8-de7a38a7fc19</t>
  </si>
  <si>
    <t>32786481-786a-4e6f-924e-b1602d449556</t>
  </si>
  <si>
    <t>8f343f1f-7f0f-4a65-a32c-b9f4c07e523a</t>
  </si>
  <si>
    <t>58b32179-6b64-4d65-9ba9-a6912cae00a5</t>
  </si>
  <si>
    <t>928ed530-92ef-49f0-9992-04f681caf79c</t>
  </si>
  <si>
    <t>15d66ff2-86e1-48ce-a075-a4f2f400cb87</t>
  </si>
  <si>
    <t>[M+Na]+</t>
  </si>
  <si>
    <t>[M+K]+</t>
  </si>
  <si>
    <t>c32e2b1f-7eae-4d29-8b39-82b3d5bf0925</t>
  </si>
  <si>
    <t>ff85cb9a-0184-4439-88a4-efa1ab66407f</t>
  </si>
  <si>
    <t>fd3c8057-9452-4fac-a558-b29f42ad9f80</t>
  </si>
  <si>
    <t>e69ae42f-e0f9-4375-9f94-4ff0066e23cb</t>
  </si>
  <si>
    <t>4af8f28f-ac19-407c-9bdd-670c5198632f</t>
  </si>
  <si>
    <t>969173cf-c6c9-4f6b-b89e-5db9fb591ca8</t>
  </si>
  <si>
    <t>a5e72a41-9f77-4965-abee-f9718bd5e1ff</t>
  </si>
  <si>
    <t>8f10f72e-11ce-4e7e-9d0a-3455685e5122</t>
  </si>
  <si>
    <t>694b4f7b-f88f-4795-95b3-56c71ef851bb</t>
  </si>
  <si>
    <t>End-group regression: neutral mass = end group + n × repeat</t>
  </si>
  <si>
    <t>end group (mod repeat)</t>
  </si>
  <si>
    <t>repeat fit (Da)</t>
  </si>
  <si>
    <t>end group fit (Da)</t>
  </si>
  <si>
    <t>R²</t>
  </si>
  <si>
    <t>points</t>
  </si>
  <si>
    <t>library match</t>
  </si>
  <si>
    <t>[M+H]+ · end 80.99 Da · R² 1.0000</t>
  </si>
  <si>
    <t>observed mass (Da)</t>
  </si>
  <si>
    <t>predicted mass (Da)</t>
  </si>
  <si>
    <t>residual (Da)</t>
  </si>
  <si>
    <t>[M+Na]+ · end 59.01 Da · R² 1.0000</t>
  </si>
  <si>
    <t>[M+K]+ · end 43.04 Da · R² 1.0000</t>
  </si>
  <si>
    <t>[M+H]+ · end 22.99 Da · R² 1.0000</t>
  </si>
  <si>
    <t>[M+Na]+ · end 1.01 Da · R² 1.0000</t>
  </si>
  <si>
    <t>[M+K]+ · end 209.04 Da · R² 1.0000</t>
  </si>
  <si>
    <t>[M+H]+ · end 21.99 Da · R² 1.0000</t>
  </si>
  <si>
    <t>[M+Na]+ · end 0.01 Da · R² 1.0000</t>
  </si>
  <si>
    <t>[M+K]+ · end 208.04 Da · R² 1.0000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</si>
</sst>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031452318460192"/>
                  <c:y val="-1.93030037911927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Peaks!$G$4:$G$11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</c:numCache>
            </c:numRef>
          </c:xVal>
          <c:yVal>
            <c:numRef>
              <c:f>Peaks!$H$4:$H$11</c:f>
              <c:numCache>
                <c:formatCode>General</c:formatCode>
                <c:ptCount val="8"/>
                <c:pt idx="0">
                  <c:v>978</c:v>
                </c:pt>
                <c:pt idx="1">
                  <c:v>1202</c:v>
                </c:pt>
                <c:pt idx="2">
                  <c:v>1426</c:v>
                </c:pt>
                <c:pt idx="3">
                  <c:v>1650</c:v>
                </c:pt>
                <c:pt idx="4">
                  <c:v>1874</c:v>
                </c:pt>
                <c:pt idx="5">
                  <c:v>2098</c:v>
                </c:pt>
                <c:pt idx="6">
                  <c:v>2322</c:v>
                </c:pt>
                <c:pt idx="7">
                  <c:v>2546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2-4CBE-ABDB-2B926CBD3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1584"/>
        <c:axId val="10605264"/>
      </c:scatterChart>
      <c:valAx>
        <c:axId val="106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5264"/>
        <c:crosses val="autoZero"/>
        <c:crossBetween val="midCat"/>
      </c:valAx>
      <c:valAx>
        <c:axId val="106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966426071741032"/>
                  <c:y val="-5.63240011665208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Peaks!$I$4:$I$12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numCache>
            </c:numRef>
          </c:xVal>
          <c:yVal>
            <c:numRef>
              <c:f>Peaks!$J$4:$J$12</c:f>
              <c:numCache>
                <c:formatCode>General</c:formatCode>
                <c:ptCount val="9"/>
                <c:pt idx="0">
                  <c:v>695</c:v>
                </c:pt>
                <c:pt idx="1">
                  <c:v>919</c:v>
                </c:pt>
                <c:pt idx="2">
                  <c:v>1143</c:v>
                </c:pt>
                <c:pt idx="3">
                  <c:v>1368</c:v>
                </c:pt>
                <c:pt idx="4">
                  <c:v>1592</c:v>
                </c:pt>
                <c:pt idx="5">
                  <c:v>1816</c:v>
                </c:pt>
                <c:pt idx="6">
                  <c:v>2040</c:v>
                </c:pt>
                <c:pt idx="7">
                  <c:v>2264</c:v>
                </c:pt>
                <c:pt idx="8">
                  <c:v>2488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C8-4F5E-B6F4-45C5E9CDA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593760"/>
        <c:axId val="2002620160"/>
      </c:scatterChart>
      <c:valAx>
        <c:axId val="200259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0160"/>
        <c:crosses val="autoZero"/>
        <c:crossBetween val="midCat"/>
      </c:valAx>
      <c:valAx>
        <c:axId val="20026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9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460375</xdr:colOff>
      <xdr:row>18</xdr:row>
      <xdr:rowOff>149225</xdr:rowOff>
    </xdr:from>
    <xdr:to>
      <xdr:col>8</xdr:col>
      <xdr:colOff>142875</xdr:colOff>
      <xdr:row>33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9EF76E-48E8-357E-9F80-50D1A8EA7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339725</xdr:colOff>
      <xdr:row>16</xdr:row>
      <xdr:rowOff>34925</xdr:rowOff>
    </xdr:from>
    <xdr:to>
      <xdr:col>16</xdr:col>
      <xdr:colOff>34925</xdr:colOff>
      <xdr:row>31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C20B86-5E78-255E-2587-F9F90B56C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0" cy="3619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32" customWidth="1"/>
    <col min="2" max="2" width="80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38155</v>
      </c>
    </row>
    <row r="4" spans="1:2" x14ac:dyDescent="0.35">
      <c r="A4" t="s">
        <v>5</v>
      </c>
      <c r="B4">
        <v>17</v>
      </c>
    </row>
    <row r="5" spans="1:2" x14ac:dyDescent="0.35">
      <c r="A5" t="s">
        <v>6</v>
      </c>
      <c r="B5">
        <v>224</v>
      </c>
    </row>
    <row r="7" spans="1:2" x14ac:dyDescent="0.35">
      <c r="A7" t="s">
        <v>7</v>
      </c>
      <c r="B7" t="s">
        <v>8</v>
      </c>
    </row>
    <row r="8" spans="1:2" x14ac:dyDescent="0.35">
      <c r="A8" t="s">
        <v>9</v>
      </c>
      <c r="B8">
        <v>1066.7030707479475</v>
      </c>
    </row>
    <row r="9" spans="1:2" x14ac:dyDescent="0.35">
      <c r="A9" t="s">
        <v>10</v>
      </c>
      <c r="B9">
        <v>1203.9357536772006</v>
      </c>
    </row>
    <row r="10" spans="1:2" x14ac:dyDescent="0.35">
      <c r="A10" t="s">
        <v>11</v>
      </c>
      <c r="B10">
        <v>1363.0155178685566</v>
      </c>
    </row>
    <row r="11" spans="1:2" x14ac:dyDescent="0.35">
      <c r="A11" t="s">
        <v>12</v>
      </c>
      <c r="B11">
        <v>1.1286512495300391</v>
      </c>
    </row>
    <row r="13" spans="1:2" x14ac:dyDescent="0.35">
      <c r="A13" t="s">
        <v>13</v>
      </c>
    </row>
    <row r="14" spans="1:2" x14ac:dyDescent="0.35">
      <c r="A14" t="s">
        <v>14</v>
      </c>
      <c r="B14" t="s">
        <v>15</v>
      </c>
    </row>
    <row r="15" spans="1:2" x14ac:dyDescent="0.35">
      <c r="A15" t="s">
        <v>14</v>
      </c>
      <c r="B15" t="s">
        <v>16</v>
      </c>
    </row>
    <row r="16" spans="1:2" x14ac:dyDescent="0.35">
      <c r="A16" t="s">
        <v>14</v>
      </c>
      <c r="B16" t="s">
        <v>17</v>
      </c>
    </row>
    <row r="17" spans="1:2" x14ac:dyDescent="0.35">
      <c r="A17" t="s">
        <v>14</v>
      </c>
      <c r="B17" t="s">
        <v>18</v>
      </c>
    </row>
    <row r="18" spans="1:2" x14ac:dyDescent="0.35">
      <c r="A18" t="s">
        <v>14</v>
      </c>
      <c r="B18" t="s">
        <v>19</v>
      </c>
    </row>
    <row r="19" spans="1:2" x14ac:dyDescent="0.35">
      <c r="A19" t="s">
        <v>14</v>
      </c>
      <c r="B19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workbookViewId="0">
      <selection activeCell="C24" sqref="C24"/>
    </sheetView>
  </sheetViews>
  <sheetFormatPr defaultRowHeight="14.5" x14ac:dyDescent="0.35"/>
  <cols>
    <col min="1" max="8" width="14" customWidth="1"/>
  </cols>
  <sheetData>
    <row r="1" spans="1:10" s="1" customFormat="1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10" x14ac:dyDescent="0.35">
      <c r="A2">
        <v>695</v>
      </c>
      <c r="B2">
        <v>3014744.0988743617</v>
      </c>
      <c r="C2" t="s">
        <v>14</v>
      </c>
      <c r="D2" t="s">
        <v>14</v>
      </c>
      <c r="E2">
        <v>1</v>
      </c>
      <c r="F2" t="s">
        <v>29</v>
      </c>
      <c r="G2" t="s">
        <v>14</v>
      </c>
      <c r="H2" t="s">
        <v>14</v>
      </c>
    </row>
    <row r="3" spans="1:10" x14ac:dyDescent="0.35">
      <c r="A3">
        <v>919</v>
      </c>
      <c r="B3">
        <v>2328844.5361240404</v>
      </c>
      <c r="C3" t="s">
        <v>14</v>
      </c>
      <c r="D3" t="s">
        <v>14</v>
      </c>
      <c r="E3">
        <v>1</v>
      </c>
      <c r="F3" t="s">
        <v>29</v>
      </c>
      <c r="G3" t="s">
        <v>14</v>
      </c>
      <c r="H3" t="s">
        <v>14</v>
      </c>
    </row>
    <row r="4" spans="1:10" x14ac:dyDescent="0.35">
      <c r="A4">
        <v>978</v>
      </c>
      <c r="B4">
        <v>417411.70574523986</v>
      </c>
      <c r="C4" t="s">
        <v>14</v>
      </c>
      <c r="D4" t="s">
        <v>14</v>
      </c>
      <c r="E4">
        <v>1</v>
      </c>
      <c r="F4" t="s">
        <v>29</v>
      </c>
      <c r="G4">
        <v>4</v>
      </c>
      <c r="H4">
        <v>978</v>
      </c>
      <c r="I4">
        <v>3</v>
      </c>
      <c r="J4">
        <v>695</v>
      </c>
    </row>
    <row r="5" spans="1:10" x14ac:dyDescent="0.35">
      <c r="A5">
        <v>1143</v>
      </c>
      <c r="B5">
        <v>1220857.6096427653</v>
      </c>
      <c r="C5" t="s">
        <v>14</v>
      </c>
      <c r="D5" t="s">
        <v>14</v>
      </c>
      <c r="E5">
        <v>1</v>
      </c>
      <c r="F5" t="s">
        <v>29</v>
      </c>
      <c r="G5">
        <f>G4+1</f>
        <v>5</v>
      </c>
      <c r="H5">
        <v>1202</v>
      </c>
      <c r="I5">
        <f>I4+1</f>
        <v>4</v>
      </c>
      <c r="J5">
        <v>919</v>
      </c>
    </row>
    <row r="6" spans="1:10" x14ac:dyDescent="0.35">
      <c r="A6">
        <v>1202</v>
      </c>
      <c r="B6">
        <v>371263.76634242653</v>
      </c>
      <c r="C6" t="s">
        <v>14</v>
      </c>
      <c r="D6" t="s">
        <v>14</v>
      </c>
      <c r="E6">
        <v>1</v>
      </c>
      <c r="F6" t="s">
        <v>29</v>
      </c>
      <c r="G6">
        <f t="shared" ref="G6:G11" si="0">G5+1</f>
        <v>6</v>
      </c>
      <c r="H6">
        <v>1426</v>
      </c>
      <c r="I6">
        <f t="shared" ref="I6:I18" si="1">I5+1</f>
        <v>5</v>
      </c>
      <c r="J6">
        <v>1143</v>
      </c>
    </row>
    <row r="7" spans="1:10" x14ac:dyDescent="0.35">
      <c r="A7">
        <v>1368</v>
      </c>
      <c r="B7">
        <v>942979.31969402276</v>
      </c>
      <c r="C7" t="s">
        <v>14</v>
      </c>
      <c r="D7" t="s">
        <v>14</v>
      </c>
      <c r="E7">
        <v>1</v>
      </c>
      <c r="F7" t="s">
        <v>29</v>
      </c>
      <c r="G7">
        <f t="shared" si="0"/>
        <v>7</v>
      </c>
      <c r="H7">
        <v>1650</v>
      </c>
      <c r="I7">
        <f t="shared" si="1"/>
        <v>6</v>
      </c>
      <c r="J7">
        <v>1368</v>
      </c>
    </row>
    <row r="8" spans="1:10" x14ac:dyDescent="0.35">
      <c r="A8">
        <v>1426</v>
      </c>
      <c r="B8">
        <v>219470.84192331583</v>
      </c>
      <c r="C8" t="s">
        <v>14</v>
      </c>
      <c r="D8" t="s">
        <v>14</v>
      </c>
      <c r="E8">
        <v>1</v>
      </c>
      <c r="F8" t="s">
        <v>29</v>
      </c>
      <c r="G8">
        <f t="shared" si="0"/>
        <v>8</v>
      </c>
      <c r="H8">
        <v>1874</v>
      </c>
      <c r="I8">
        <f t="shared" si="1"/>
        <v>7</v>
      </c>
      <c r="J8">
        <v>1592</v>
      </c>
    </row>
    <row r="9" spans="1:10" x14ac:dyDescent="0.35">
      <c r="A9">
        <v>1592</v>
      </c>
      <c r="B9">
        <v>495873.91332199459</v>
      </c>
      <c r="C9" t="s">
        <v>14</v>
      </c>
      <c r="D9" t="s">
        <v>14</v>
      </c>
      <c r="E9">
        <v>1</v>
      </c>
      <c r="F9" t="s">
        <v>29</v>
      </c>
      <c r="G9">
        <f t="shared" si="0"/>
        <v>9</v>
      </c>
      <c r="H9">
        <v>2098</v>
      </c>
      <c r="I9">
        <f t="shared" si="1"/>
        <v>8</v>
      </c>
      <c r="J9">
        <v>1816</v>
      </c>
    </row>
    <row r="10" spans="1:10" x14ac:dyDescent="0.35">
      <c r="A10">
        <v>1650</v>
      </c>
      <c r="B10">
        <v>128211.22291668078</v>
      </c>
      <c r="C10" t="s">
        <v>14</v>
      </c>
      <c r="D10" t="s">
        <v>14</v>
      </c>
      <c r="E10">
        <v>1</v>
      </c>
      <c r="F10" t="s">
        <v>29</v>
      </c>
      <c r="G10">
        <f t="shared" si="0"/>
        <v>10</v>
      </c>
      <c r="H10">
        <v>2322</v>
      </c>
      <c r="I10">
        <f t="shared" si="1"/>
        <v>9</v>
      </c>
      <c r="J10">
        <v>2040</v>
      </c>
    </row>
    <row r="11" spans="1:10" x14ac:dyDescent="0.35">
      <c r="A11">
        <v>1816</v>
      </c>
      <c r="B11">
        <v>266345.83124831546</v>
      </c>
      <c r="C11" t="s">
        <v>14</v>
      </c>
      <c r="D11" t="s">
        <v>14</v>
      </c>
      <c r="E11">
        <v>1</v>
      </c>
      <c r="F11" t="s">
        <v>29</v>
      </c>
      <c r="G11">
        <f t="shared" si="0"/>
        <v>11</v>
      </c>
      <c r="H11">
        <v>2546</v>
      </c>
      <c r="I11">
        <f t="shared" si="1"/>
        <v>10</v>
      </c>
      <c r="J11">
        <v>2264</v>
      </c>
    </row>
    <row r="12" spans="1:10" x14ac:dyDescent="0.35">
      <c r="A12">
        <v>1874</v>
      </c>
      <c r="B12">
        <v>76883.274938450486</v>
      </c>
      <c r="C12" t="s">
        <v>14</v>
      </c>
      <c r="D12" t="s">
        <v>14</v>
      </c>
      <c r="E12">
        <v>1</v>
      </c>
      <c r="F12" t="s">
        <v>29</v>
      </c>
      <c r="H12" t="s">
        <v>14</v>
      </c>
      <c r="I12">
        <f t="shared" si="1"/>
        <v>11</v>
      </c>
      <c r="J12">
        <v>2488</v>
      </c>
    </row>
    <row r="13" spans="1:10" x14ac:dyDescent="0.35">
      <c r="A13">
        <v>2040</v>
      </c>
      <c r="B13">
        <v>141777.37327375999</v>
      </c>
      <c r="C13" t="s">
        <v>14</v>
      </c>
      <c r="D13" t="s">
        <v>14</v>
      </c>
      <c r="E13">
        <v>1</v>
      </c>
      <c r="F13" t="s">
        <v>29</v>
      </c>
      <c r="G13" t="s">
        <v>14</v>
      </c>
      <c r="H13" t="s">
        <v>14</v>
      </c>
    </row>
    <row r="14" spans="1:10" x14ac:dyDescent="0.35">
      <c r="A14">
        <v>2098</v>
      </c>
      <c r="B14">
        <v>42747.594423168019</v>
      </c>
      <c r="C14" t="s">
        <v>14</v>
      </c>
      <c r="D14" t="s">
        <v>14</v>
      </c>
      <c r="E14">
        <v>1</v>
      </c>
      <c r="F14" t="s">
        <v>29</v>
      </c>
      <c r="G14" t="s">
        <v>14</v>
      </c>
      <c r="H14" t="s">
        <v>14</v>
      </c>
    </row>
    <row r="15" spans="1:10" x14ac:dyDescent="0.35">
      <c r="A15">
        <v>2264</v>
      </c>
      <c r="B15">
        <v>80412.368595724707</v>
      </c>
      <c r="C15" t="s">
        <v>14</v>
      </c>
      <c r="D15" t="s">
        <v>14</v>
      </c>
      <c r="E15">
        <v>1</v>
      </c>
      <c r="F15" t="s">
        <v>29</v>
      </c>
      <c r="G15" t="s">
        <v>14</v>
      </c>
      <c r="H15" t="s">
        <v>14</v>
      </c>
    </row>
    <row r="16" spans="1:10" x14ac:dyDescent="0.35">
      <c r="A16">
        <v>2322</v>
      </c>
      <c r="B16">
        <v>28341.234343560925</v>
      </c>
      <c r="C16" t="s">
        <v>14</v>
      </c>
      <c r="D16" t="s">
        <v>14</v>
      </c>
      <c r="E16">
        <v>1</v>
      </c>
      <c r="F16" t="s">
        <v>29</v>
      </c>
      <c r="G16" t="s">
        <v>14</v>
      </c>
      <c r="H16" t="s">
        <v>14</v>
      </c>
    </row>
    <row r="17" spans="1:8" x14ac:dyDescent="0.35">
      <c r="A17">
        <v>2488</v>
      </c>
      <c r="B17">
        <v>41588.423984960522</v>
      </c>
      <c r="C17" t="s">
        <v>14</v>
      </c>
      <c r="D17" t="s">
        <v>14</v>
      </c>
      <c r="E17">
        <v>1</v>
      </c>
      <c r="F17" t="s">
        <v>29</v>
      </c>
      <c r="G17" t="s">
        <v>14</v>
      </c>
      <c r="H17" t="s">
        <v>14</v>
      </c>
    </row>
    <row r="18" spans="1:8" x14ac:dyDescent="0.35">
      <c r="A18">
        <v>2546</v>
      </c>
      <c r="B18">
        <v>17099.831892149905</v>
      </c>
      <c r="C18" t="s">
        <v>14</v>
      </c>
      <c r="D18" t="s">
        <v>14</v>
      </c>
      <c r="E18">
        <v>1</v>
      </c>
      <c r="F18" t="s">
        <v>29</v>
      </c>
      <c r="G18" t="s">
        <v>14</v>
      </c>
      <c r="H18" t="s">
        <v>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/>
  </sheetViews>
  <sheetFormatPr defaultRowHeight="14.5" x14ac:dyDescent="0.35"/>
  <cols>
    <col min="1" max="8" width="14" customWidth="1"/>
  </cols>
  <sheetData>
    <row r="1" spans="1:8" s="1" customFormat="1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5">
      <c r="A2" t="s">
        <v>38</v>
      </c>
      <c r="B2">
        <v>224</v>
      </c>
      <c r="C2">
        <v>80.992723548009053</v>
      </c>
      <c r="D2">
        <v>8</v>
      </c>
      <c r="E2">
        <v>0</v>
      </c>
      <c r="F2">
        <v>0.76359999999999995</v>
      </c>
      <c r="G2">
        <v>4</v>
      </c>
      <c r="H2" t="s">
        <v>39</v>
      </c>
    </row>
    <row r="3" spans="1:8" x14ac:dyDescent="0.35">
      <c r="A3" t="s">
        <v>38</v>
      </c>
      <c r="B3">
        <v>224</v>
      </c>
      <c r="C3">
        <v>80.992723548009053</v>
      </c>
      <c r="D3">
        <v>8</v>
      </c>
      <c r="E3">
        <v>0</v>
      </c>
      <c r="F3">
        <v>0.76359999999999995</v>
      </c>
      <c r="G3">
        <v>5</v>
      </c>
      <c r="H3" t="s">
        <v>40</v>
      </c>
    </row>
    <row r="4" spans="1:8" x14ac:dyDescent="0.35">
      <c r="A4" t="s">
        <v>38</v>
      </c>
      <c r="B4">
        <v>224</v>
      </c>
      <c r="C4">
        <v>80.992723548009053</v>
      </c>
      <c r="D4">
        <v>8</v>
      </c>
      <c r="E4">
        <v>0</v>
      </c>
      <c r="F4">
        <v>0.76359999999999995</v>
      </c>
      <c r="G4">
        <v>6</v>
      </c>
      <c r="H4" t="s">
        <v>41</v>
      </c>
    </row>
    <row r="5" spans="1:8" x14ac:dyDescent="0.35">
      <c r="A5" t="s">
        <v>38</v>
      </c>
      <c r="B5">
        <v>224</v>
      </c>
      <c r="C5">
        <v>80.992723548009053</v>
      </c>
      <c r="D5">
        <v>8</v>
      </c>
      <c r="E5">
        <v>0</v>
      </c>
      <c r="F5">
        <v>0.76359999999999995</v>
      </c>
      <c r="G5">
        <v>7</v>
      </c>
      <c r="H5" t="s">
        <v>42</v>
      </c>
    </row>
    <row r="6" spans="1:8" x14ac:dyDescent="0.35">
      <c r="A6" t="s">
        <v>38</v>
      </c>
      <c r="B6">
        <v>224</v>
      </c>
      <c r="C6">
        <v>80.992723548009053</v>
      </c>
      <c r="D6">
        <v>8</v>
      </c>
      <c r="E6">
        <v>0</v>
      </c>
      <c r="F6">
        <v>0.76359999999999995</v>
      </c>
      <c r="G6">
        <v>8</v>
      </c>
      <c r="H6" t="s">
        <v>43</v>
      </c>
    </row>
    <row r="7" spans="1:8" x14ac:dyDescent="0.35">
      <c r="A7" t="s">
        <v>38</v>
      </c>
      <c r="B7">
        <v>224</v>
      </c>
      <c r="C7">
        <v>80.992723548009053</v>
      </c>
      <c r="D7">
        <v>8</v>
      </c>
      <c r="E7">
        <v>0</v>
      </c>
      <c r="F7">
        <v>0.76359999999999995</v>
      </c>
      <c r="G7">
        <v>9</v>
      </c>
      <c r="H7" t="s">
        <v>44</v>
      </c>
    </row>
    <row r="8" spans="1:8" x14ac:dyDescent="0.35">
      <c r="A8" t="s">
        <v>38</v>
      </c>
      <c r="B8">
        <v>224</v>
      </c>
      <c r="C8">
        <v>80.992723548009053</v>
      </c>
      <c r="D8">
        <v>8</v>
      </c>
      <c r="E8">
        <v>0</v>
      </c>
      <c r="F8">
        <v>0.76359999999999995</v>
      </c>
      <c r="G8">
        <v>10</v>
      </c>
      <c r="H8" t="s">
        <v>45</v>
      </c>
    </row>
    <row r="9" spans="1:8" x14ac:dyDescent="0.35">
      <c r="A9" t="s">
        <v>38</v>
      </c>
      <c r="B9">
        <v>224</v>
      </c>
      <c r="C9">
        <v>80.992723548009053</v>
      </c>
      <c r="D9">
        <v>8</v>
      </c>
      <c r="E9">
        <v>0</v>
      </c>
      <c r="F9">
        <v>0.76359999999999995</v>
      </c>
      <c r="G9">
        <v>11</v>
      </c>
      <c r="H9" t="s">
        <v>46</v>
      </c>
    </row>
    <row r="10" spans="1:8" x14ac:dyDescent="0.35">
      <c r="A10" t="s">
        <v>47</v>
      </c>
      <c r="B10">
        <v>224</v>
      </c>
      <c r="C10">
        <v>59.010779299009073</v>
      </c>
      <c r="D10">
        <v>8</v>
      </c>
      <c r="E10">
        <v>2.7847474288855413E-13</v>
      </c>
      <c r="F10">
        <v>0.76359999999999995</v>
      </c>
      <c r="G10">
        <v>4</v>
      </c>
      <c r="H10" t="s">
        <v>39</v>
      </c>
    </row>
    <row r="11" spans="1:8" x14ac:dyDescent="0.35">
      <c r="A11" t="s">
        <v>47</v>
      </c>
      <c r="B11">
        <v>224</v>
      </c>
      <c r="C11">
        <v>59.010779299009073</v>
      </c>
      <c r="D11">
        <v>8</v>
      </c>
      <c r="E11">
        <v>2.7847474288855413E-13</v>
      </c>
      <c r="F11">
        <v>0.76359999999999995</v>
      </c>
      <c r="G11">
        <v>5</v>
      </c>
      <c r="H11" t="s">
        <v>40</v>
      </c>
    </row>
    <row r="12" spans="1:8" x14ac:dyDescent="0.35">
      <c r="A12" t="s">
        <v>47</v>
      </c>
      <c r="B12">
        <v>224</v>
      </c>
      <c r="C12">
        <v>59.010779299009073</v>
      </c>
      <c r="D12">
        <v>8</v>
      </c>
      <c r="E12">
        <v>2.7847474288855413E-13</v>
      </c>
      <c r="F12">
        <v>0.76359999999999995</v>
      </c>
      <c r="G12">
        <v>6</v>
      </c>
      <c r="H12" t="s">
        <v>41</v>
      </c>
    </row>
    <row r="13" spans="1:8" x14ac:dyDescent="0.35">
      <c r="A13" t="s">
        <v>47</v>
      </c>
      <c r="B13">
        <v>224</v>
      </c>
      <c r="C13">
        <v>59.010779299009073</v>
      </c>
      <c r="D13">
        <v>8</v>
      </c>
      <c r="E13">
        <v>2.7847474288855413E-13</v>
      </c>
      <c r="F13">
        <v>0.76359999999999995</v>
      </c>
      <c r="G13">
        <v>7</v>
      </c>
      <c r="H13" t="s">
        <v>42</v>
      </c>
    </row>
    <row r="14" spans="1:8" x14ac:dyDescent="0.35">
      <c r="A14" t="s">
        <v>47</v>
      </c>
      <c r="B14">
        <v>224</v>
      </c>
      <c r="C14">
        <v>59.010779299009073</v>
      </c>
      <c r="D14">
        <v>8</v>
      </c>
      <c r="E14">
        <v>2.7847474288855413E-13</v>
      </c>
      <c r="F14">
        <v>0.76359999999999995</v>
      </c>
      <c r="G14">
        <v>8</v>
      </c>
      <c r="H14" t="s">
        <v>43</v>
      </c>
    </row>
    <row r="15" spans="1:8" x14ac:dyDescent="0.35">
      <c r="A15" t="s">
        <v>47</v>
      </c>
      <c r="B15">
        <v>224</v>
      </c>
      <c r="C15">
        <v>59.010779299009073</v>
      </c>
      <c r="D15">
        <v>8</v>
      </c>
      <c r="E15">
        <v>2.7847474288855413E-13</v>
      </c>
      <c r="F15">
        <v>0.76359999999999995</v>
      </c>
      <c r="G15">
        <v>9</v>
      </c>
      <c r="H15" t="s">
        <v>44</v>
      </c>
    </row>
    <row r="16" spans="1:8" x14ac:dyDescent="0.35">
      <c r="A16" t="s">
        <v>47</v>
      </c>
      <c r="B16">
        <v>224</v>
      </c>
      <c r="C16">
        <v>59.010779299009073</v>
      </c>
      <c r="D16">
        <v>8</v>
      </c>
      <c r="E16">
        <v>2.7847474288855413E-13</v>
      </c>
      <c r="F16">
        <v>0.76359999999999995</v>
      </c>
      <c r="G16">
        <v>10</v>
      </c>
      <c r="H16" t="s">
        <v>45</v>
      </c>
    </row>
    <row r="17" spans="1:8" x14ac:dyDescent="0.35">
      <c r="A17" t="s">
        <v>47</v>
      </c>
      <c r="B17">
        <v>224</v>
      </c>
      <c r="C17">
        <v>59.010779299009073</v>
      </c>
      <c r="D17">
        <v>8</v>
      </c>
      <c r="E17">
        <v>2.7847474288855413E-13</v>
      </c>
      <c r="F17">
        <v>0.76359999999999995</v>
      </c>
      <c r="G17">
        <v>11</v>
      </c>
      <c r="H17" t="s">
        <v>46</v>
      </c>
    </row>
    <row r="18" spans="1:8" x14ac:dyDescent="0.35">
      <c r="A18" t="s">
        <v>48</v>
      </c>
      <c r="B18">
        <v>224</v>
      </c>
      <c r="C18">
        <v>43.036841679909116</v>
      </c>
      <c r="D18">
        <v>8</v>
      </c>
      <c r="E18">
        <v>1.6077746776921858E-13</v>
      </c>
      <c r="F18">
        <v>0.76359999999999995</v>
      </c>
      <c r="G18">
        <v>4</v>
      </c>
      <c r="H18" t="s">
        <v>39</v>
      </c>
    </row>
    <row r="19" spans="1:8" x14ac:dyDescent="0.35">
      <c r="A19" t="s">
        <v>48</v>
      </c>
      <c r="B19">
        <v>224</v>
      </c>
      <c r="C19">
        <v>43.036841679909116</v>
      </c>
      <c r="D19">
        <v>8</v>
      </c>
      <c r="E19">
        <v>1.6077746776921858E-13</v>
      </c>
      <c r="F19">
        <v>0.76359999999999995</v>
      </c>
      <c r="G19">
        <v>5</v>
      </c>
      <c r="H19" t="s">
        <v>40</v>
      </c>
    </row>
    <row r="20" spans="1:8" x14ac:dyDescent="0.35">
      <c r="A20" t="s">
        <v>48</v>
      </c>
      <c r="B20">
        <v>224</v>
      </c>
      <c r="C20">
        <v>43.036841679909116</v>
      </c>
      <c r="D20">
        <v>8</v>
      </c>
      <c r="E20">
        <v>1.6077746776921858E-13</v>
      </c>
      <c r="F20">
        <v>0.76359999999999995</v>
      </c>
      <c r="G20">
        <v>6</v>
      </c>
      <c r="H20" t="s">
        <v>41</v>
      </c>
    </row>
    <row r="21" spans="1:8" x14ac:dyDescent="0.35">
      <c r="A21" t="s">
        <v>48</v>
      </c>
      <c r="B21">
        <v>224</v>
      </c>
      <c r="C21">
        <v>43.036841679909116</v>
      </c>
      <c r="D21">
        <v>8</v>
      </c>
      <c r="E21">
        <v>1.6077746776921858E-13</v>
      </c>
      <c r="F21">
        <v>0.76359999999999995</v>
      </c>
      <c r="G21">
        <v>7</v>
      </c>
      <c r="H21" t="s">
        <v>42</v>
      </c>
    </row>
    <row r="22" spans="1:8" x14ac:dyDescent="0.35">
      <c r="A22" t="s">
        <v>48</v>
      </c>
      <c r="B22">
        <v>224</v>
      </c>
      <c r="C22">
        <v>43.036841679909116</v>
      </c>
      <c r="D22">
        <v>8</v>
      </c>
      <c r="E22">
        <v>1.6077746776921858E-13</v>
      </c>
      <c r="F22">
        <v>0.76359999999999995</v>
      </c>
      <c r="G22">
        <v>8</v>
      </c>
      <c r="H22" t="s">
        <v>43</v>
      </c>
    </row>
    <row r="23" spans="1:8" x14ac:dyDescent="0.35">
      <c r="A23" t="s">
        <v>48</v>
      </c>
      <c r="B23">
        <v>224</v>
      </c>
      <c r="C23">
        <v>43.036841679909116</v>
      </c>
      <c r="D23">
        <v>8</v>
      </c>
      <c r="E23">
        <v>1.6077746776921858E-13</v>
      </c>
      <c r="F23">
        <v>0.76359999999999995</v>
      </c>
      <c r="G23">
        <v>9</v>
      </c>
      <c r="H23" t="s">
        <v>44</v>
      </c>
    </row>
    <row r="24" spans="1:8" x14ac:dyDescent="0.35">
      <c r="A24" t="s">
        <v>48</v>
      </c>
      <c r="B24">
        <v>224</v>
      </c>
      <c r="C24">
        <v>43.036841679909116</v>
      </c>
      <c r="D24">
        <v>8</v>
      </c>
      <c r="E24">
        <v>1.6077746776921858E-13</v>
      </c>
      <c r="F24">
        <v>0.76359999999999995</v>
      </c>
      <c r="G24">
        <v>10</v>
      </c>
      <c r="H24" t="s">
        <v>45</v>
      </c>
    </row>
    <row r="25" spans="1:8" x14ac:dyDescent="0.35">
      <c r="A25" t="s">
        <v>48</v>
      </c>
      <c r="B25">
        <v>224</v>
      </c>
      <c r="C25">
        <v>43.036841679909116</v>
      </c>
      <c r="D25">
        <v>8</v>
      </c>
      <c r="E25">
        <v>1.6077746776921858E-13</v>
      </c>
      <c r="F25">
        <v>0.76359999999999995</v>
      </c>
      <c r="G25">
        <v>11</v>
      </c>
      <c r="H25" t="s">
        <v>46</v>
      </c>
    </row>
    <row r="26" spans="1:8" x14ac:dyDescent="0.35">
      <c r="A26" t="s">
        <v>38</v>
      </c>
      <c r="B26">
        <v>224</v>
      </c>
      <c r="C26">
        <v>22.992723548009053</v>
      </c>
      <c r="D26">
        <v>6</v>
      </c>
      <c r="E26">
        <v>0</v>
      </c>
      <c r="F26">
        <v>0.70830000000000004</v>
      </c>
      <c r="G26">
        <v>6</v>
      </c>
      <c r="H26" t="s">
        <v>49</v>
      </c>
    </row>
    <row r="27" spans="1:8" x14ac:dyDescent="0.35">
      <c r="A27" t="s">
        <v>38</v>
      </c>
      <c r="B27">
        <v>224</v>
      </c>
      <c r="C27">
        <v>22.992723548009053</v>
      </c>
      <c r="D27">
        <v>6</v>
      </c>
      <c r="E27">
        <v>0</v>
      </c>
      <c r="F27">
        <v>0.70830000000000004</v>
      </c>
      <c r="G27">
        <v>7</v>
      </c>
      <c r="H27" t="s">
        <v>50</v>
      </c>
    </row>
    <row r="28" spans="1:8" x14ac:dyDescent="0.35">
      <c r="A28" t="s">
        <v>38</v>
      </c>
      <c r="B28">
        <v>224</v>
      </c>
      <c r="C28">
        <v>22.992723548009053</v>
      </c>
      <c r="D28">
        <v>6</v>
      </c>
      <c r="E28">
        <v>0</v>
      </c>
      <c r="F28">
        <v>0.70830000000000004</v>
      </c>
      <c r="G28">
        <v>8</v>
      </c>
      <c r="H28" t="s">
        <v>51</v>
      </c>
    </row>
    <row r="29" spans="1:8" x14ac:dyDescent="0.35">
      <c r="A29" t="s">
        <v>38</v>
      </c>
      <c r="B29">
        <v>224</v>
      </c>
      <c r="C29">
        <v>22.992723548009053</v>
      </c>
      <c r="D29">
        <v>6</v>
      </c>
      <c r="E29">
        <v>0</v>
      </c>
      <c r="F29">
        <v>0.70830000000000004</v>
      </c>
      <c r="G29">
        <v>9</v>
      </c>
      <c r="H29" t="s">
        <v>52</v>
      </c>
    </row>
    <row r="30" spans="1:8" x14ac:dyDescent="0.35">
      <c r="A30" t="s">
        <v>38</v>
      </c>
      <c r="B30">
        <v>224</v>
      </c>
      <c r="C30">
        <v>22.992723548009053</v>
      </c>
      <c r="D30">
        <v>6</v>
      </c>
      <c r="E30">
        <v>0</v>
      </c>
      <c r="F30">
        <v>0.70830000000000004</v>
      </c>
      <c r="G30">
        <v>10</v>
      </c>
      <c r="H30" t="s">
        <v>53</v>
      </c>
    </row>
    <row r="31" spans="1:8" x14ac:dyDescent="0.35">
      <c r="A31" t="s">
        <v>38</v>
      </c>
      <c r="B31">
        <v>224</v>
      </c>
      <c r="C31">
        <v>22.992723548009053</v>
      </c>
      <c r="D31">
        <v>6</v>
      </c>
      <c r="E31">
        <v>0</v>
      </c>
      <c r="F31">
        <v>0.70830000000000004</v>
      </c>
      <c r="G31">
        <v>11</v>
      </c>
      <c r="H31" t="s">
        <v>54</v>
      </c>
    </row>
    <row r="32" spans="1:8" x14ac:dyDescent="0.35">
      <c r="A32" t="s">
        <v>47</v>
      </c>
      <c r="B32">
        <v>224</v>
      </c>
      <c r="C32">
        <v>1.0107792990090729</v>
      </c>
      <c r="D32">
        <v>6</v>
      </c>
      <c r="E32">
        <v>2.6254850544756925E-13</v>
      </c>
      <c r="F32">
        <v>0.70830000000000004</v>
      </c>
      <c r="G32">
        <v>6</v>
      </c>
      <c r="H32" t="s">
        <v>49</v>
      </c>
    </row>
    <row r="33" spans="1:8" x14ac:dyDescent="0.35">
      <c r="A33" t="s">
        <v>47</v>
      </c>
      <c r="B33">
        <v>224</v>
      </c>
      <c r="C33">
        <v>1.0107792990090729</v>
      </c>
      <c r="D33">
        <v>6</v>
      </c>
      <c r="E33">
        <v>2.6254850544756925E-13</v>
      </c>
      <c r="F33">
        <v>0.70830000000000004</v>
      </c>
      <c r="G33">
        <v>7</v>
      </c>
      <c r="H33" t="s">
        <v>50</v>
      </c>
    </row>
    <row r="34" spans="1:8" x14ac:dyDescent="0.35">
      <c r="A34" t="s">
        <v>47</v>
      </c>
      <c r="B34">
        <v>224</v>
      </c>
      <c r="C34">
        <v>1.0107792990090729</v>
      </c>
      <c r="D34">
        <v>6</v>
      </c>
      <c r="E34">
        <v>2.6254850544756925E-13</v>
      </c>
      <c r="F34">
        <v>0.70830000000000004</v>
      </c>
      <c r="G34">
        <v>8</v>
      </c>
      <c r="H34" t="s">
        <v>51</v>
      </c>
    </row>
    <row r="35" spans="1:8" x14ac:dyDescent="0.35">
      <c r="A35" t="s">
        <v>47</v>
      </c>
      <c r="B35">
        <v>224</v>
      </c>
      <c r="C35">
        <v>1.0107792990090729</v>
      </c>
      <c r="D35">
        <v>6</v>
      </c>
      <c r="E35">
        <v>2.6254850544756925E-13</v>
      </c>
      <c r="F35">
        <v>0.70830000000000004</v>
      </c>
      <c r="G35">
        <v>9</v>
      </c>
      <c r="H35" t="s">
        <v>52</v>
      </c>
    </row>
    <row r="36" spans="1:8" x14ac:dyDescent="0.35">
      <c r="A36" t="s">
        <v>47</v>
      </c>
      <c r="B36">
        <v>224</v>
      </c>
      <c r="C36">
        <v>1.0107792990090729</v>
      </c>
      <c r="D36">
        <v>6</v>
      </c>
      <c r="E36">
        <v>2.6254850544756925E-13</v>
      </c>
      <c r="F36">
        <v>0.70830000000000004</v>
      </c>
      <c r="G36">
        <v>10</v>
      </c>
      <c r="H36" t="s">
        <v>53</v>
      </c>
    </row>
    <row r="37" spans="1:8" x14ac:dyDescent="0.35">
      <c r="A37" t="s">
        <v>47</v>
      </c>
      <c r="B37">
        <v>224</v>
      </c>
      <c r="C37">
        <v>1.0107792990090729</v>
      </c>
      <c r="D37">
        <v>6</v>
      </c>
      <c r="E37">
        <v>2.6254850544756925E-13</v>
      </c>
      <c r="F37">
        <v>0.70830000000000004</v>
      </c>
      <c r="G37">
        <v>11</v>
      </c>
      <c r="H37" t="s">
        <v>54</v>
      </c>
    </row>
    <row r="38" spans="1:8" x14ac:dyDescent="0.35">
      <c r="A38" t="s">
        <v>48</v>
      </c>
      <c r="B38">
        <v>224</v>
      </c>
      <c r="C38">
        <v>209.036841679909</v>
      </c>
      <c r="D38">
        <v>6</v>
      </c>
      <c r="E38">
        <v>0</v>
      </c>
      <c r="F38">
        <v>0.70830000000000004</v>
      </c>
      <c r="G38">
        <v>5</v>
      </c>
      <c r="H38" t="s">
        <v>49</v>
      </c>
    </row>
    <row r="39" spans="1:8" x14ac:dyDescent="0.35">
      <c r="A39" t="s">
        <v>48</v>
      </c>
      <c r="B39">
        <v>224</v>
      </c>
      <c r="C39">
        <v>209.036841679909</v>
      </c>
      <c r="D39">
        <v>6</v>
      </c>
      <c r="E39">
        <v>0</v>
      </c>
      <c r="F39">
        <v>0.70830000000000004</v>
      </c>
      <c r="G39">
        <v>6</v>
      </c>
      <c r="H39" t="s">
        <v>50</v>
      </c>
    </row>
    <row r="40" spans="1:8" x14ac:dyDescent="0.35">
      <c r="A40" t="s">
        <v>48</v>
      </c>
      <c r="B40">
        <v>224</v>
      </c>
      <c r="C40">
        <v>209.036841679909</v>
      </c>
      <c r="D40">
        <v>6</v>
      </c>
      <c r="E40">
        <v>0</v>
      </c>
      <c r="F40">
        <v>0.70830000000000004</v>
      </c>
      <c r="G40">
        <v>7</v>
      </c>
      <c r="H40" t="s">
        <v>51</v>
      </c>
    </row>
    <row r="41" spans="1:8" x14ac:dyDescent="0.35">
      <c r="A41" t="s">
        <v>48</v>
      </c>
      <c r="B41">
        <v>224</v>
      </c>
      <c r="C41">
        <v>209.036841679909</v>
      </c>
      <c r="D41">
        <v>6</v>
      </c>
      <c r="E41">
        <v>0</v>
      </c>
      <c r="F41">
        <v>0.70830000000000004</v>
      </c>
      <c r="G41">
        <v>8</v>
      </c>
      <c r="H41" t="s">
        <v>52</v>
      </c>
    </row>
    <row r="42" spans="1:8" x14ac:dyDescent="0.35">
      <c r="A42" t="s">
        <v>48</v>
      </c>
      <c r="B42">
        <v>224</v>
      </c>
      <c r="C42">
        <v>209.036841679909</v>
      </c>
      <c r="D42">
        <v>6</v>
      </c>
      <c r="E42">
        <v>0</v>
      </c>
      <c r="F42">
        <v>0.70830000000000004</v>
      </c>
      <c r="G42">
        <v>9</v>
      </c>
      <c r="H42" t="s">
        <v>53</v>
      </c>
    </row>
    <row r="43" spans="1:8" x14ac:dyDescent="0.35">
      <c r="A43" t="s">
        <v>48</v>
      </c>
      <c r="B43">
        <v>224</v>
      </c>
      <c r="C43">
        <v>209.036841679909</v>
      </c>
      <c r="D43">
        <v>6</v>
      </c>
      <c r="E43">
        <v>0</v>
      </c>
      <c r="F43">
        <v>0.70830000000000004</v>
      </c>
      <c r="G43">
        <v>10</v>
      </c>
      <c r="H43" t="s">
        <v>54</v>
      </c>
    </row>
    <row r="44" spans="1:8" x14ac:dyDescent="0.35">
      <c r="A44" t="s">
        <v>38</v>
      </c>
      <c r="B44">
        <v>224</v>
      </c>
      <c r="C44">
        <v>21.992723548009053</v>
      </c>
      <c r="D44">
        <v>3</v>
      </c>
      <c r="E44">
        <v>0</v>
      </c>
      <c r="F44">
        <v>0.55000000000000004</v>
      </c>
      <c r="G44">
        <v>3</v>
      </c>
      <c r="H44" t="s">
        <v>55</v>
      </c>
    </row>
    <row r="45" spans="1:8" x14ac:dyDescent="0.35">
      <c r="A45" t="s">
        <v>38</v>
      </c>
      <c r="B45">
        <v>224</v>
      </c>
      <c r="C45">
        <v>21.992723548009053</v>
      </c>
      <c r="D45">
        <v>3</v>
      </c>
      <c r="E45">
        <v>0</v>
      </c>
      <c r="F45">
        <v>0.55000000000000004</v>
      </c>
      <c r="G45">
        <v>4</v>
      </c>
      <c r="H45" t="s">
        <v>56</v>
      </c>
    </row>
    <row r="46" spans="1:8" x14ac:dyDescent="0.35">
      <c r="A46" t="s">
        <v>38</v>
      </c>
      <c r="B46">
        <v>224</v>
      </c>
      <c r="C46">
        <v>21.992723548009053</v>
      </c>
      <c r="D46">
        <v>3</v>
      </c>
      <c r="E46">
        <v>0</v>
      </c>
      <c r="F46">
        <v>0.55000000000000004</v>
      </c>
      <c r="G46">
        <v>5</v>
      </c>
      <c r="H46" t="s">
        <v>57</v>
      </c>
    </row>
    <row r="47" spans="1:8" x14ac:dyDescent="0.35">
      <c r="A47" t="s">
        <v>47</v>
      </c>
      <c r="B47">
        <v>224</v>
      </c>
      <c r="C47">
        <v>1.0779299009072929E-2</v>
      </c>
      <c r="D47">
        <v>3</v>
      </c>
      <c r="E47">
        <v>0</v>
      </c>
      <c r="F47">
        <v>0.55000000000000004</v>
      </c>
      <c r="G47">
        <v>3</v>
      </c>
      <c r="H47" t="s">
        <v>55</v>
      </c>
    </row>
    <row r="48" spans="1:8" x14ac:dyDescent="0.35">
      <c r="A48" t="s">
        <v>47</v>
      </c>
      <c r="B48">
        <v>224</v>
      </c>
      <c r="C48">
        <v>1.0779299009072929E-2</v>
      </c>
      <c r="D48">
        <v>3</v>
      </c>
      <c r="E48">
        <v>0</v>
      </c>
      <c r="F48">
        <v>0.55000000000000004</v>
      </c>
      <c r="G48">
        <v>4</v>
      </c>
      <c r="H48" t="s">
        <v>56</v>
      </c>
    </row>
    <row r="49" spans="1:8" x14ac:dyDescent="0.35">
      <c r="A49" t="s">
        <v>47</v>
      </c>
      <c r="B49">
        <v>224</v>
      </c>
      <c r="C49">
        <v>1.0779299009072929E-2</v>
      </c>
      <c r="D49">
        <v>3</v>
      </c>
      <c r="E49">
        <v>0</v>
      </c>
      <c r="F49">
        <v>0.55000000000000004</v>
      </c>
      <c r="G49">
        <v>5</v>
      </c>
      <c r="H49" t="s">
        <v>57</v>
      </c>
    </row>
    <row r="50" spans="1:8" x14ac:dyDescent="0.35">
      <c r="A50" t="s">
        <v>48</v>
      </c>
      <c r="B50">
        <v>224</v>
      </c>
      <c r="C50">
        <v>208.03684167990912</v>
      </c>
      <c r="D50">
        <v>3</v>
      </c>
      <c r="E50">
        <v>1.3127425272378462E-13</v>
      </c>
      <c r="F50">
        <v>0.55000000000000004</v>
      </c>
      <c r="G50">
        <v>2</v>
      </c>
      <c r="H50" t="s">
        <v>55</v>
      </c>
    </row>
    <row r="51" spans="1:8" x14ac:dyDescent="0.35">
      <c r="A51" t="s">
        <v>48</v>
      </c>
      <c r="B51">
        <v>224</v>
      </c>
      <c r="C51">
        <v>208.03684167990912</v>
      </c>
      <c r="D51">
        <v>3</v>
      </c>
      <c r="E51">
        <v>1.3127425272378462E-13</v>
      </c>
      <c r="F51">
        <v>0.55000000000000004</v>
      </c>
      <c r="G51">
        <v>3</v>
      </c>
      <c r="H51" t="s">
        <v>56</v>
      </c>
    </row>
    <row r="52" spans="1:8" x14ac:dyDescent="0.35">
      <c r="A52" t="s">
        <v>48</v>
      </c>
      <c r="B52">
        <v>224</v>
      </c>
      <c r="C52">
        <v>208.03684167990912</v>
      </c>
      <c r="D52">
        <v>3</v>
      </c>
      <c r="E52">
        <v>1.3127425272378462E-13</v>
      </c>
      <c r="F52">
        <v>0.55000000000000004</v>
      </c>
      <c r="G52">
        <v>4</v>
      </c>
      <c r="H52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0"/>
  <sheetViews>
    <sheetView workbookViewId="0"/>
  </sheetViews>
  <sheetFormatPr defaultRowHeight="14.5" x14ac:dyDescent="0.35"/>
  <cols>
    <col min="1" max="7" width="20" customWidth="1"/>
  </cols>
  <sheetData>
    <row r="1" spans="1:7" s="1" customFormat="1" x14ac:dyDescent="0.35">
      <c r="A1" s="1" t="s">
        <v>58</v>
      </c>
    </row>
    <row r="3" spans="1:7" s="1" customFormat="1" x14ac:dyDescent="0.35">
      <c r="A3" s="1" t="s">
        <v>30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</row>
    <row r="4" spans="1:7" x14ac:dyDescent="0.35">
      <c r="A4" t="s">
        <v>38</v>
      </c>
      <c r="B4">
        <v>80.992699999999999</v>
      </c>
      <c r="C4">
        <v>224</v>
      </c>
      <c r="D4">
        <v>80.992699999999999</v>
      </c>
      <c r="E4">
        <v>1</v>
      </c>
      <c r="F4">
        <v>8</v>
      </c>
      <c r="G4" t="s">
        <v>14</v>
      </c>
    </row>
    <row r="5" spans="1:7" x14ac:dyDescent="0.35">
      <c r="A5" t="s">
        <v>47</v>
      </c>
      <c r="B5">
        <v>59.010800000000003</v>
      </c>
      <c r="C5">
        <v>224</v>
      </c>
      <c r="D5">
        <v>59.010800000000003</v>
      </c>
      <c r="E5">
        <v>1</v>
      </c>
      <c r="F5">
        <v>8</v>
      </c>
      <c r="G5" t="s">
        <v>14</v>
      </c>
    </row>
    <row r="6" spans="1:7" x14ac:dyDescent="0.35">
      <c r="A6" t="s">
        <v>48</v>
      </c>
      <c r="B6">
        <v>43.036799999999999</v>
      </c>
      <c r="C6">
        <v>224</v>
      </c>
      <c r="D6">
        <v>43.036799999999999</v>
      </c>
      <c r="E6">
        <v>1</v>
      </c>
      <c r="F6">
        <v>8</v>
      </c>
      <c r="G6" t="s">
        <v>14</v>
      </c>
    </row>
    <row r="7" spans="1:7" x14ac:dyDescent="0.35">
      <c r="A7" t="s">
        <v>38</v>
      </c>
      <c r="B7">
        <v>22.992699999999999</v>
      </c>
      <c r="C7">
        <v>224</v>
      </c>
      <c r="D7">
        <v>22.992699999999999</v>
      </c>
      <c r="E7">
        <v>1</v>
      </c>
      <c r="F7">
        <v>6</v>
      </c>
      <c r="G7" t="s">
        <v>14</v>
      </c>
    </row>
    <row r="8" spans="1:7" x14ac:dyDescent="0.35">
      <c r="A8" t="s">
        <v>47</v>
      </c>
      <c r="B8">
        <v>1.0107999999999999</v>
      </c>
      <c r="C8">
        <v>224</v>
      </c>
      <c r="D8">
        <v>1.0107999999999999</v>
      </c>
      <c r="E8">
        <v>1</v>
      </c>
      <c r="F8">
        <v>6</v>
      </c>
      <c r="G8" t="s">
        <v>14</v>
      </c>
    </row>
    <row r="9" spans="1:7" x14ac:dyDescent="0.35">
      <c r="A9" t="s">
        <v>48</v>
      </c>
      <c r="B9">
        <v>209.0368</v>
      </c>
      <c r="C9">
        <v>224</v>
      </c>
      <c r="D9">
        <v>209.0368</v>
      </c>
      <c r="E9">
        <v>1</v>
      </c>
      <c r="F9">
        <v>6</v>
      </c>
      <c r="G9" t="s">
        <v>14</v>
      </c>
    </row>
    <row r="10" spans="1:7" x14ac:dyDescent="0.35">
      <c r="A10" t="s">
        <v>38</v>
      </c>
      <c r="B10">
        <v>21.992699999999999</v>
      </c>
      <c r="C10">
        <v>224</v>
      </c>
      <c r="D10">
        <v>21.992699999999999</v>
      </c>
      <c r="E10">
        <v>1</v>
      </c>
      <c r="F10">
        <v>3</v>
      </c>
      <c r="G10" t="s">
        <v>14</v>
      </c>
    </row>
    <row r="11" spans="1:7" x14ac:dyDescent="0.35">
      <c r="A11" t="s">
        <v>47</v>
      </c>
      <c r="B11">
        <v>1.0800000000000001E-2</v>
      </c>
      <c r="C11">
        <v>224</v>
      </c>
      <c r="D11">
        <v>1.0800000000000001E-2</v>
      </c>
      <c r="E11">
        <v>1</v>
      </c>
      <c r="F11">
        <v>3</v>
      </c>
      <c r="G11" t="s">
        <v>14</v>
      </c>
    </row>
    <row r="12" spans="1:7" x14ac:dyDescent="0.35">
      <c r="A12" t="s">
        <v>48</v>
      </c>
      <c r="B12">
        <v>208.0368</v>
      </c>
      <c r="C12">
        <v>224</v>
      </c>
      <c r="D12">
        <v>208.0368</v>
      </c>
      <c r="E12">
        <v>1</v>
      </c>
      <c r="F12">
        <v>3</v>
      </c>
      <c r="G12" t="s">
        <v>14</v>
      </c>
    </row>
    <row r="14" spans="1:7" s="1" customFormat="1" x14ac:dyDescent="0.35">
      <c r="A14" s="1" t="s">
        <v>65</v>
      </c>
    </row>
    <row r="15" spans="1:7" s="1" customFormat="1" x14ac:dyDescent="0.35">
      <c r="A15" s="1" t="s">
        <v>36</v>
      </c>
      <c r="B15" s="1" t="s">
        <v>66</v>
      </c>
      <c r="C15" s="1" t="s">
        <v>67</v>
      </c>
      <c r="D15" s="1" t="s">
        <v>68</v>
      </c>
    </row>
    <row r="16" spans="1:7" x14ac:dyDescent="0.35">
      <c r="A16">
        <v>4</v>
      </c>
      <c r="B16">
        <v>976.99270000000001</v>
      </c>
      <c r="C16">
        <v>976.99270000000001</v>
      </c>
      <c r="D16">
        <v>0</v>
      </c>
    </row>
    <row r="17" spans="1:4" x14ac:dyDescent="0.35">
      <c r="A17">
        <v>5</v>
      </c>
      <c r="B17">
        <v>1200.9927</v>
      </c>
      <c r="C17">
        <v>1200.9927</v>
      </c>
      <c r="D17">
        <v>0</v>
      </c>
    </row>
    <row r="18" spans="1:4" x14ac:dyDescent="0.35">
      <c r="A18">
        <v>6</v>
      </c>
      <c r="B18">
        <v>1424.9927</v>
      </c>
      <c r="C18">
        <v>1424.9927</v>
      </c>
      <c r="D18">
        <v>0</v>
      </c>
    </row>
    <row r="19" spans="1:4" x14ac:dyDescent="0.35">
      <c r="A19">
        <v>7</v>
      </c>
      <c r="B19">
        <v>1648.9927</v>
      </c>
      <c r="C19">
        <v>1648.9927</v>
      </c>
      <c r="D19">
        <v>0</v>
      </c>
    </row>
    <row r="20" spans="1:4" x14ac:dyDescent="0.35">
      <c r="A20">
        <v>8</v>
      </c>
      <c r="B20">
        <v>1872.9927</v>
      </c>
      <c r="C20">
        <v>1872.9927</v>
      </c>
      <c r="D20">
        <v>0</v>
      </c>
    </row>
    <row r="21" spans="1:4" x14ac:dyDescent="0.35">
      <c r="A21">
        <v>9</v>
      </c>
      <c r="B21">
        <v>2096.9926999999998</v>
      </c>
      <c r="C21">
        <v>2096.9926999999998</v>
      </c>
      <c r="D21">
        <v>0</v>
      </c>
    </row>
    <row r="22" spans="1:4" x14ac:dyDescent="0.35">
      <c r="A22">
        <v>10</v>
      </c>
      <c r="B22">
        <v>2320.9926999999998</v>
      </c>
      <c r="C22">
        <v>2320.9926999999998</v>
      </c>
      <c r="D22">
        <v>0</v>
      </c>
    </row>
    <row r="23" spans="1:4" x14ac:dyDescent="0.35">
      <c r="A23">
        <v>11</v>
      </c>
      <c r="B23">
        <v>2544.9926999999998</v>
      </c>
      <c r="C23">
        <v>2544.9926999999998</v>
      </c>
      <c r="D23">
        <v>0</v>
      </c>
    </row>
    <row r="25" spans="1:4" s="1" customFormat="1" x14ac:dyDescent="0.35">
      <c r="A25" s="1" t="s">
        <v>69</v>
      </c>
    </row>
    <row r="26" spans="1:4" s="1" customFormat="1" x14ac:dyDescent="0.35">
      <c r="A26" s="1" t="s">
        <v>36</v>
      </c>
      <c r="B26" s="1" t="s">
        <v>66</v>
      </c>
      <c r="C26" s="1" t="s">
        <v>67</v>
      </c>
      <c r="D26" s="1" t="s">
        <v>68</v>
      </c>
    </row>
    <row r="27" spans="1:4" x14ac:dyDescent="0.35">
      <c r="A27">
        <v>4</v>
      </c>
      <c r="B27">
        <v>955.01080000000002</v>
      </c>
      <c r="C27">
        <v>955.01080000000002</v>
      </c>
      <c r="D27">
        <v>0</v>
      </c>
    </row>
    <row r="28" spans="1:4" x14ac:dyDescent="0.35">
      <c r="A28">
        <v>5</v>
      </c>
      <c r="B28">
        <v>1179.0108</v>
      </c>
      <c r="C28">
        <v>1179.0108</v>
      </c>
      <c r="D28">
        <v>0</v>
      </c>
    </row>
    <row r="29" spans="1:4" x14ac:dyDescent="0.35">
      <c r="A29">
        <v>6</v>
      </c>
      <c r="B29">
        <v>1403.0108</v>
      </c>
      <c r="C29">
        <v>1403.0108</v>
      </c>
      <c r="D29">
        <v>0</v>
      </c>
    </row>
    <row r="30" spans="1:4" x14ac:dyDescent="0.35">
      <c r="A30">
        <v>7</v>
      </c>
      <c r="B30">
        <v>1627.0108</v>
      </c>
      <c r="C30">
        <v>1627.0108</v>
      </c>
      <c r="D30">
        <v>0</v>
      </c>
    </row>
    <row r="31" spans="1:4" x14ac:dyDescent="0.35">
      <c r="A31">
        <v>8</v>
      </c>
      <c r="B31">
        <v>1851.0108</v>
      </c>
      <c r="C31">
        <v>1851.0108</v>
      </c>
      <c r="D31">
        <v>0</v>
      </c>
    </row>
    <row r="32" spans="1:4" x14ac:dyDescent="0.35">
      <c r="A32">
        <v>9</v>
      </c>
      <c r="B32">
        <v>2075.0108</v>
      </c>
      <c r="C32">
        <v>2075.0108</v>
      </c>
      <c r="D32">
        <v>0</v>
      </c>
    </row>
    <row r="33" spans="1:4" x14ac:dyDescent="0.35">
      <c r="A33">
        <v>10</v>
      </c>
      <c r="B33">
        <v>2299.0108</v>
      </c>
      <c r="C33">
        <v>2299.0108</v>
      </c>
      <c r="D33">
        <v>0</v>
      </c>
    </row>
    <row r="34" spans="1:4" x14ac:dyDescent="0.35">
      <c r="A34">
        <v>11</v>
      </c>
      <c r="B34">
        <v>2523.0108</v>
      </c>
      <c r="C34">
        <v>2523.0108</v>
      </c>
      <c r="D34">
        <v>0</v>
      </c>
    </row>
    <row r="36" spans="1:4" s="1" customFormat="1" x14ac:dyDescent="0.35">
      <c r="A36" s="1" t="s">
        <v>70</v>
      </c>
    </row>
    <row r="37" spans="1:4" s="1" customFormat="1" x14ac:dyDescent="0.35">
      <c r="A37" s="1" t="s">
        <v>36</v>
      </c>
      <c r="B37" s="1" t="s">
        <v>66</v>
      </c>
      <c r="C37" s="1" t="s">
        <v>67</v>
      </c>
      <c r="D37" s="1" t="s">
        <v>68</v>
      </c>
    </row>
    <row r="38" spans="1:4" x14ac:dyDescent="0.35">
      <c r="A38">
        <v>4</v>
      </c>
      <c r="B38">
        <v>939.03679999999997</v>
      </c>
      <c r="C38">
        <v>939.03679999999997</v>
      </c>
      <c r="D38">
        <v>0</v>
      </c>
    </row>
    <row r="39" spans="1:4" x14ac:dyDescent="0.35">
      <c r="A39">
        <v>5</v>
      </c>
      <c r="B39">
        <v>1163.0368000000001</v>
      </c>
      <c r="C39">
        <v>1163.0368000000001</v>
      </c>
      <c r="D39">
        <v>0</v>
      </c>
    </row>
    <row r="40" spans="1:4" x14ac:dyDescent="0.35">
      <c r="A40">
        <v>6</v>
      </c>
      <c r="B40">
        <v>1387.0368000000001</v>
      </c>
      <c r="C40">
        <v>1387.0368000000001</v>
      </c>
      <c r="D40">
        <v>0</v>
      </c>
    </row>
    <row r="41" spans="1:4" x14ac:dyDescent="0.35">
      <c r="A41">
        <v>7</v>
      </c>
      <c r="B41">
        <v>1611.0368000000001</v>
      </c>
      <c r="C41">
        <v>1611.0368000000001</v>
      </c>
      <c r="D41">
        <v>0</v>
      </c>
    </row>
    <row r="42" spans="1:4" x14ac:dyDescent="0.35">
      <c r="A42">
        <v>8</v>
      </c>
      <c r="B42">
        <v>1835.0368000000001</v>
      </c>
      <c r="C42">
        <v>1835.0368000000001</v>
      </c>
      <c r="D42">
        <v>0</v>
      </c>
    </row>
    <row r="43" spans="1:4" x14ac:dyDescent="0.35">
      <c r="A43">
        <v>9</v>
      </c>
      <c r="B43">
        <v>2059.0367999999999</v>
      </c>
      <c r="C43">
        <v>2059.0367999999999</v>
      </c>
      <c r="D43">
        <v>0</v>
      </c>
    </row>
    <row r="44" spans="1:4" x14ac:dyDescent="0.35">
      <c r="A44">
        <v>10</v>
      </c>
      <c r="B44">
        <v>2283.0367999999999</v>
      </c>
      <c r="C44">
        <v>2283.0367999999999</v>
      </c>
      <c r="D44">
        <v>0</v>
      </c>
    </row>
    <row r="45" spans="1:4" x14ac:dyDescent="0.35">
      <c r="A45">
        <v>11</v>
      </c>
      <c r="B45">
        <v>2507.0367999999999</v>
      </c>
      <c r="C45">
        <v>2507.0367999999999</v>
      </c>
      <c r="D45">
        <v>0</v>
      </c>
    </row>
    <row r="47" spans="1:4" s="1" customFormat="1" x14ac:dyDescent="0.35">
      <c r="A47" s="1" t="s">
        <v>71</v>
      </c>
    </row>
    <row r="48" spans="1:4" s="1" customFormat="1" x14ac:dyDescent="0.35">
      <c r="A48" s="1" t="s">
        <v>36</v>
      </c>
      <c r="B48" s="1" t="s">
        <v>66</v>
      </c>
      <c r="C48" s="1" t="s">
        <v>67</v>
      </c>
      <c r="D48" s="1" t="s">
        <v>68</v>
      </c>
    </row>
    <row r="49" spans="1:4" x14ac:dyDescent="0.35">
      <c r="A49">
        <v>6</v>
      </c>
      <c r="B49">
        <v>1366.9927</v>
      </c>
      <c r="C49">
        <v>1366.9927</v>
      </c>
      <c r="D49">
        <v>0</v>
      </c>
    </row>
    <row r="50" spans="1:4" x14ac:dyDescent="0.35">
      <c r="A50">
        <v>7</v>
      </c>
      <c r="B50">
        <v>1590.9927</v>
      </c>
      <c r="C50">
        <v>1590.9927</v>
      </c>
      <c r="D50">
        <v>0</v>
      </c>
    </row>
    <row r="51" spans="1:4" x14ac:dyDescent="0.35">
      <c r="A51">
        <v>8</v>
      </c>
      <c r="B51">
        <v>1814.9927</v>
      </c>
      <c r="C51">
        <v>1814.9927</v>
      </c>
      <c r="D51">
        <v>0</v>
      </c>
    </row>
    <row r="52" spans="1:4" x14ac:dyDescent="0.35">
      <c r="A52">
        <v>9</v>
      </c>
      <c r="B52">
        <v>2038.9927</v>
      </c>
      <c r="C52">
        <v>2038.9927</v>
      </c>
      <c r="D52">
        <v>0</v>
      </c>
    </row>
    <row r="53" spans="1:4" x14ac:dyDescent="0.35">
      <c r="A53">
        <v>10</v>
      </c>
      <c r="B53">
        <v>2262.9926999999998</v>
      </c>
      <c r="C53">
        <v>2262.9926999999998</v>
      </c>
      <c r="D53">
        <v>0</v>
      </c>
    </row>
    <row r="54" spans="1:4" x14ac:dyDescent="0.35">
      <c r="A54">
        <v>11</v>
      </c>
      <c r="B54">
        <v>2486.9926999999998</v>
      </c>
      <c r="C54">
        <v>2486.9926999999998</v>
      </c>
      <c r="D54">
        <v>0</v>
      </c>
    </row>
    <row r="56" spans="1:4" s="1" customFormat="1" x14ac:dyDescent="0.35">
      <c r="A56" s="1" t="s">
        <v>72</v>
      </c>
    </row>
    <row r="57" spans="1:4" s="1" customFormat="1" x14ac:dyDescent="0.35">
      <c r="A57" s="1" t="s">
        <v>36</v>
      </c>
      <c r="B57" s="1" t="s">
        <v>66</v>
      </c>
      <c r="C57" s="1" t="s">
        <v>67</v>
      </c>
      <c r="D57" s="1" t="s">
        <v>68</v>
      </c>
    </row>
    <row r="58" spans="1:4" x14ac:dyDescent="0.35">
      <c r="A58">
        <v>6</v>
      </c>
      <c r="B58">
        <v>1345.0108</v>
      </c>
      <c r="C58">
        <v>1345.0108</v>
      </c>
      <c r="D58">
        <v>0</v>
      </c>
    </row>
    <row r="59" spans="1:4" x14ac:dyDescent="0.35">
      <c r="A59">
        <v>7</v>
      </c>
      <c r="B59">
        <v>1569.0108</v>
      </c>
      <c r="C59">
        <v>1569.0108</v>
      </c>
      <c r="D59">
        <v>0</v>
      </c>
    </row>
    <row r="60" spans="1:4" x14ac:dyDescent="0.35">
      <c r="A60">
        <v>8</v>
      </c>
      <c r="B60">
        <v>1793.0108</v>
      </c>
      <c r="C60">
        <v>1793.0108</v>
      </c>
      <c r="D60">
        <v>0</v>
      </c>
    </row>
    <row r="61" spans="1:4" x14ac:dyDescent="0.35">
      <c r="A61">
        <v>9</v>
      </c>
      <c r="B61">
        <v>2017.0108</v>
      </c>
      <c r="C61">
        <v>2017.0108</v>
      </c>
      <c r="D61">
        <v>0</v>
      </c>
    </row>
    <row r="62" spans="1:4" x14ac:dyDescent="0.35">
      <c r="A62">
        <v>10</v>
      </c>
      <c r="B62">
        <v>2241.0108</v>
      </c>
      <c r="C62">
        <v>2241.0108</v>
      </c>
      <c r="D62">
        <v>0</v>
      </c>
    </row>
    <row r="63" spans="1:4" x14ac:dyDescent="0.35">
      <c r="A63">
        <v>11</v>
      </c>
      <c r="B63">
        <v>2465.0108</v>
      </c>
      <c r="C63">
        <v>2465.0108</v>
      </c>
      <c r="D63">
        <v>0</v>
      </c>
    </row>
    <row r="65" spans="1:4" s="1" customFormat="1" x14ac:dyDescent="0.35">
      <c r="A65" s="1" t="s">
        <v>73</v>
      </c>
    </row>
    <row r="66" spans="1:4" s="1" customFormat="1" x14ac:dyDescent="0.35">
      <c r="A66" s="1" t="s">
        <v>36</v>
      </c>
      <c r="B66" s="1" t="s">
        <v>66</v>
      </c>
      <c r="C66" s="1" t="s">
        <v>67</v>
      </c>
      <c r="D66" s="1" t="s">
        <v>68</v>
      </c>
    </row>
    <row r="67" spans="1:4" x14ac:dyDescent="0.35">
      <c r="A67">
        <v>5</v>
      </c>
      <c r="B67">
        <v>1329.0368000000001</v>
      </c>
      <c r="C67">
        <v>1329.0368000000001</v>
      </c>
      <c r="D67">
        <v>0</v>
      </c>
    </row>
    <row r="68" spans="1:4" x14ac:dyDescent="0.35">
      <c r="A68">
        <v>6</v>
      </c>
      <c r="B68">
        <v>1553.0368000000001</v>
      </c>
      <c r="C68">
        <v>1553.0368000000001</v>
      </c>
      <c r="D68">
        <v>0</v>
      </c>
    </row>
    <row r="69" spans="1:4" x14ac:dyDescent="0.35">
      <c r="A69">
        <v>7</v>
      </c>
      <c r="B69">
        <v>1777.0368000000001</v>
      </c>
      <c r="C69">
        <v>1777.0368000000001</v>
      </c>
      <c r="D69">
        <v>0</v>
      </c>
    </row>
    <row r="70" spans="1:4" x14ac:dyDescent="0.35">
      <c r="A70">
        <v>8</v>
      </c>
      <c r="B70">
        <v>2001.0368000000001</v>
      </c>
      <c r="C70">
        <v>2001.0368000000001</v>
      </c>
      <c r="D70">
        <v>0</v>
      </c>
    </row>
    <row r="71" spans="1:4" x14ac:dyDescent="0.35">
      <c r="A71">
        <v>9</v>
      </c>
      <c r="B71">
        <v>2225.0367999999999</v>
      </c>
      <c r="C71">
        <v>2225.0367999999999</v>
      </c>
      <c r="D71">
        <v>0</v>
      </c>
    </row>
    <row r="72" spans="1:4" x14ac:dyDescent="0.35">
      <c r="A72">
        <v>10</v>
      </c>
      <c r="B72">
        <v>2449.0367999999999</v>
      </c>
      <c r="C72">
        <v>2449.0367999999999</v>
      </c>
      <c r="D72">
        <v>0</v>
      </c>
    </row>
    <row r="74" spans="1:4" s="1" customFormat="1" x14ac:dyDescent="0.35">
      <c r="A74" s="1" t="s">
        <v>74</v>
      </c>
    </row>
    <row r="75" spans="1:4" s="1" customFormat="1" x14ac:dyDescent="0.35">
      <c r="A75" s="1" t="s">
        <v>36</v>
      </c>
      <c r="B75" s="1" t="s">
        <v>66</v>
      </c>
      <c r="C75" s="1" t="s">
        <v>67</v>
      </c>
      <c r="D75" s="1" t="s">
        <v>68</v>
      </c>
    </row>
    <row r="76" spans="1:4" x14ac:dyDescent="0.35">
      <c r="A76">
        <v>3</v>
      </c>
      <c r="B76">
        <v>693.99270000000001</v>
      </c>
      <c r="C76">
        <v>693.99270000000001</v>
      </c>
      <c r="D76">
        <v>0</v>
      </c>
    </row>
    <row r="77" spans="1:4" x14ac:dyDescent="0.35">
      <c r="A77">
        <v>4</v>
      </c>
      <c r="B77">
        <v>917.99270000000001</v>
      </c>
      <c r="C77">
        <v>917.99270000000001</v>
      </c>
      <c r="D77">
        <v>0</v>
      </c>
    </row>
    <row r="78" spans="1:4" x14ac:dyDescent="0.35">
      <c r="A78">
        <v>5</v>
      </c>
      <c r="B78">
        <v>1141.9927</v>
      </c>
      <c r="C78">
        <v>1141.9927</v>
      </c>
      <c r="D78">
        <v>0</v>
      </c>
    </row>
    <row r="80" spans="1:4" s="1" customFormat="1" x14ac:dyDescent="0.35">
      <c r="A80" s="1" t="s">
        <v>75</v>
      </c>
    </row>
    <row r="81" spans="1:4" s="1" customFormat="1" x14ac:dyDescent="0.35">
      <c r="A81" s="1" t="s">
        <v>36</v>
      </c>
      <c r="B81" s="1" t="s">
        <v>66</v>
      </c>
      <c r="C81" s="1" t="s">
        <v>67</v>
      </c>
      <c r="D81" s="1" t="s">
        <v>68</v>
      </c>
    </row>
    <row r="82" spans="1:4" x14ac:dyDescent="0.35">
      <c r="A82">
        <v>3</v>
      </c>
      <c r="B82">
        <v>672.01080000000002</v>
      </c>
      <c r="C82">
        <v>672.01080000000002</v>
      </c>
      <c r="D82">
        <v>0</v>
      </c>
    </row>
    <row r="83" spans="1:4" x14ac:dyDescent="0.35">
      <c r="A83">
        <v>4</v>
      </c>
      <c r="B83">
        <v>896.01080000000002</v>
      </c>
      <c r="C83">
        <v>896.01080000000002</v>
      </c>
      <c r="D83">
        <v>0</v>
      </c>
    </row>
    <row r="84" spans="1:4" x14ac:dyDescent="0.35">
      <c r="A84">
        <v>5</v>
      </c>
      <c r="B84">
        <v>1120.0108</v>
      </c>
      <c r="C84">
        <v>1120.0108</v>
      </c>
      <c r="D84">
        <v>0</v>
      </c>
    </row>
    <row r="86" spans="1:4" s="1" customFormat="1" x14ac:dyDescent="0.35">
      <c r="A86" s="1" t="s">
        <v>76</v>
      </c>
    </row>
    <row r="87" spans="1:4" s="1" customFormat="1" x14ac:dyDescent="0.35">
      <c r="A87" s="1" t="s">
        <v>36</v>
      </c>
      <c r="B87" s="1" t="s">
        <v>66</v>
      </c>
      <c r="C87" s="1" t="s">
        <v>67</v>
      </c>
      <c r="D87" s="1" t="s">
        <v>68</v>
      </c>
    </row>
    <row r="88" spans="1:4" x14ac:dyDescent="0.35">
      <c r="A88">
        <v>2</v>
      </c>
      <c r="B88">
        <v>656.03679999999997</v>
      </c>
      <c r="C88">
        <v>656.03679999999997</v>
      </c>
      <c r="D88">
        <v>0</v>
      </c>
    </row>
    <row r="89" spans="1:4" x14ac:dyDescent="0.35">
      <c r="A89">
        <v>3</v>
      </c>
      <c r="B89">
        <v>880.03679999999997</v>
      </c>
      <c r="C89">
        <v>880.03679999999997</v>
      </c>
      <c r="D89">
        <v>0</v>
      </c>
    </row>
    <row r="90" spans="1:4" x14ac:dyDescent="0.35">
      <c r="A90">
        <v>4</v>
      </c>
      <c r="B90">
        <v>1104.0368000000001</v>
      </c>
      <c r="C90">
        <v>1104.0368000000001</v>
      </c>
      <c r="D90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Peaks</vt:lpstr>
      <vt:lpstr>Series</vt:lpstr>
      <vt:lpstr>End groups</vt:lpstr>
      <vt:lpstr>Spectrum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2026-06-05T22:46:48Z</dcterms:created>
  <dcterms:modified xsi:type="dcterms:W3CDTF">2026-06-05T23:01:01Z</dcterms:modified>
  <cp:category/>
</cp:coreProperties>
</file>